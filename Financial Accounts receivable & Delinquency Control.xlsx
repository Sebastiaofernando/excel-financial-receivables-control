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bas"/>
  <workbookPr/>
  <bookViews>
    <workbookView activeTab="0" xWindow="240" yWindow="60" windowWidth="0" windowHeight="0" tabRatio="500"/>
  </bookViews>
  <sheets>
    <sheet name="Controle financeiro de contas a" sheetId="1" r:id="rId4"/>
    <sheet name="Indicadores Financeiros" sheetId="2" r:id="rId5"/>
  </sheets>
  <calcPr/>
  <extLst>
    <ext uri="smNativeData">
      <pm:revision xmlns:pm="smNativeData" day="1790513247" val="1234" rev="124" revOS="4" revMin="124" revMax="0"/>
      <pm:docPrefs xmlns:pm="smNativeData" id="1790513247" fixedDigits="0" showNotice="1" showProtection="1" showFrameBounds="1" autoChart="1" recalcOnPrint="1" recalcOnCopy="1" tab="567" useDefinedPrintRange="1" printArea="currentSheet"/>
      <pm:compatibility xmlns:pm="smNativeData" id="1790513247"/>
      <pm:defCurrency xmlns:pm="smNativeData" id="1790513247"/>
    </ext>
  </extLst>
</workbook>
</file>

<file path=xl/sharedStrings.xml><?xml version="1.0" encoding="utf-8"?>
<sst xmlns="http://schemas.openxmlformats.org/spreadsheetml/2006/main" count="25" uniqueCount="25">
  <si>
    <t xml:space="preserve">Cliente </t>
  </si>
  <si>
    <t>Fatura</t>
  </si>
  <si>
    <t>Emissão</t>
  </si>
  <si>
    <t>Vencimento</t>
  </si>
  <si>
    <t>Valor</t>
  </si>
  <si>
    <t>Recebimento</t>
  </si>
  <si>
    <t>Dias em atraso</t>
  </si>
  <si>
    <t>Status</t>
  </si>
  <si>
    <t>Valor em aberto</t>
  </si>
  <si>
    <t>Tuedo em Online</t>
  </si>
  <si>
    <t>FAT001</t>
  </si>
  <si>
    <t>Lurelle</t>
  </si>
  <si>
    <t>FAT002</t>
  </si>
  <si>
    <t>Madatec</t>
  </si>
  <si>
    <t>FAT003</t>
  </si>
  <si>
    <t>BA Construction</t>
  </si>
  <si>
    <t>FAT004</t>
  </si>
  <si>
    <t>Personal Bacas</t>
  </si>
  <si>
    <t>FAT005</t>
  </si>
  <si>
    <t xml:space="preserve">Madatec </t>
  </si>
  <si>
    <t>FAT006</t>
  </si>
  <si>
    <t>Total Faturado</t>
  </si>
  <si>
    <t>Total Recebido</t>
  </si>
  <si>
    <t>Total em aberto</t>
  </si>
  <si>
    <t>Faturas vencidas e não pagas</t>
  </si>
</sst>
</file>

<file path=xl/styles.xml><?xml version="1.0" encoding="utf-8"?>
<styleSheet xmlns="http://schemas.openxmlformats.org/spreadsheetml/2006/main">
  <numFmts count="11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;@"/>
    <numFmt numFmtId="165" formatCode="_-[$R$-416]* #,##0.00_ ;_-[$R$-416]* \-#,##0.00\ ;_-[$R$-416]* &quot;-&quot;??_ ;_-@_ "/>
    <numFmt numFmtId="4" formatCode="#,##0.00"/>
  </numFmts>
  <fonts count="3">
    <font>
      <name val="Arial"/>
      <family val="2"/>
      <color rgb="FF000000"/>
      <sz val="10"/>
      <extLst>
        <ext uri="smNativeData">
          <pm:charSpec xmlns:pm="smNativeData" id="179051324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790513247" ulstyle="none" kern="1">
            <pm:latin face="Arial" sz="240" lang="default" weight="bold"/>
            <pm:cs face="Times New Roman" sz="240" lang="default"/>
            <pm:ea face="SimSun" sz="240" lang="default"/>
          </pm:charSpec>
        </ext>
      </extLst>
    </font>
    <font>
      <name val="Avignon Pro Medium"/>
      <color rgb="FF000000"/>
      <sz val="10"/>
      <extLst>
        <ext uri="smNativeData">
          <pm:charSpec xmlns:pm="smNativeData" id="1790513247" ulstyle="none" kern="1">
            <pm:latin face="Avignon Pro Medium" sz="200" lang="default"/>
            <pm:cs face="Times New Roman" sz="200" lang="default"/>
            <pm:ea face="SimSun" sz="20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90513247" type="1" fgLvl="100" fgClr="00FFFFFF" bgLvl="100" bgClr="00000000"/>
          </ext>
        </extLst>
      </patternFill>
    </fill>
    <fill>
      <patternFill patternType="none"/>
    </fill>
    <fill>
      <patternFill patternType="none"/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5132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51324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051324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9051324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0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/>
    <xf numFmtId="0" fontId="0" fillId="0" borderId="2" xfId="0" applyBorder="1"/>
    <xf numFmtId="0" fontId="1" fillId="0" borderId="3" xfId="0" applyFont="1" applyBorder="1"/>
    <xf numFmtId="165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 customBuiltin="1"/>
  </cellStyles>
  <tableStyles count="0"/>
  <extLst>
    <ext uri="smNativeData">
      <pm:charStyles xmlns:pm="smNativeData" id="1790513247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autoPageBreaks="0"/>
  </sheetPr>
  <dimension ref="A2:I8"/>
  <sheetViews>
    <sheetView tabSelected="1" view="normal" zoomScale="110" workbookViewId="0">
      <selection activeCell="B9" sqref="B9"/>
    </sheetView>
  </sheetViews>
  <sheetFormatPr baseColWidth="9" defaultColWidth="10.000000" defaultRowHeight="13.45"/>
  <cols>
    <col min="1" max="1" width="14.486486" customWidth="1"/>
    <col min="2" max="7" width="18.513514" customWidth="1"/>
    <col min="8" max="8" width="16.171171" customWidth="1"/>
    <col min="9" max="10" width="17.027027" customWidth="1"/>
  </cols>
  <sheetData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2" t="s">
        <v>9</v>
      </c>
      <c r="B3" s="2" t="s">
        <v>10</v>
      </c>
      <c r="C3" s="3" t="n">
        <v>46266</v>
      </c>
      <c r="D3" s="3" t="n">
        <v>46270</v>
      </c>
      <c r="E3" s="5" t="n">
        <v>12000</v>
      </c>
      <c r="F3" s="3" t="n">
        <v>46273</v>
      </c>
      <c r="G3" s="2">
        <f aca="1">IF(F3&lt;&gt;"",IF(F3&gt;D3,DATEDIF(D3,F3,"d"),0),IF(D3&lt;TODAY(),DATEDIF(D3,TODAY(),"d"),0))</f>
        <v>3</v>
      </c>
      <c r="H3" s="2" t="str">
        <f>IF(F3&lt;&gt;"","Recebido","Pendente")</f>
        <v>Recebido</v>
      </c>
      <c r="I3" s="2">
        <f>IF(F3="",E3,0)</f>
        <v>0</v>
      </c>
    </row>
    <row r="4" spans="1:9">
      <c r="A4" s="2" t="s">
        <v>11</v>
      </c>
      <c r="B4" s="2" t="s">
        <v>12</v>
      </c>
      <c r="C4" s="3" t="n">
        <v>46267</v>
      </c>
      <c r="D4" s="3" t="n">
        <v>46275</v>
      </c>
      <c r="E4" s="5" t="n">
        <v>18000</v>
      </c>
      <c r="F4" s="3" t="n">
        <v>46275</v>
      </c>
      <c r="G4" s="2">
        <f aca="1">IF(F4&lt;&gt;"",IF(F4&gt;D4,DATEDIF(D4,F4,"d"),0),IF(D4&lt;TODAY(),DATEDIF(D4,TODAY(),"d"),0))</f>
        <v>0</v>
      </c>
      <c r="H4" s="2" t="str">
        <f>IF(F4&lt;&gt;"","Recebido","Pendente")</f>
        <v>Recebido</v>
      </c>
      <c r="I4" s="2">
        <f>IF(F4="",E4,0)</f>
        <v>0</v>
      </c>
    </row>
    <row r="5" spans="1:9">
      <c r="A5" s="2" t="s">
        <v>13</v>
      </c>
      <c r="B5" s="2" t="s">
        <v>14</v>
      </c>
      <c r="C5" s="3" t="n">
        <v>46270</v>
      </c>
      <c r="D5" s="3" t="n">
        <v>45915</v>
      </c>
      <c r="E5" s="5" t="n">
        <v>2300</v>
      </c>
      <c r="F5" s="4"/>
      <c r="G5" s="2">
        <f aca="1">IF(F5&lt;&gt;"",IF(F5&gt;D5,DATEDIF(D5,F5,"d"),0),IF(D6&lt;TODAY(),DATEDIF(D5,TODAY(),"d"),0))</f>
        <v>377</v>
      </c>
      <c r="H5" s="2" t="str">
        <f>IF(F5&lt;&gt;"","Recebido","Pendente")</f>
        <v>Pendente</v>
      </c>
      <c r="I5" s="2">
        <f>IF(F5="",E5,0)</f>
        <v>2300</v>
      </c>
    </row>
    <row r="6" spans="1:9">
      <c r="A6" s="2" t="s">
        <v>15</v>
      </c>
      <c r="B6" s="2" t="s">
        <v>16</v>
      </c>
      <c r="C6" s="3" t="n">
        <v>46273</v>
      </c>
      <c r="D6" s="3" t="n">
        <v>46277</v>
      </c>
      <c r="E6" s="5" t="n">
        <v>1800</v>
      </c>
      <c r="F6" s="3" t="n">
        <v>46283</v>
      </c>
      <c r="G6" s="2">
        <f aca="1">IF(F6&lt;&gt;"",IF(F6&gt;D6,DATEDIF(D6,F6,"d"),0),IF(D6&lt;TODAY(),DATEDIF(D6,TODAY(),"d"),0))</f>
        <v>6</v>
      </c>
      <c r="H6" s="2" t="str">
        <f>IF(F6&lt;&gt;"","Recebido","Pendente")</f>
        <v>Recebido</v>
      </c>
      <c r="I6" s="2">
        <f>IF(F6="",E6,0)</f>
        <v>0</v>
      </c>
    </row>
    <row r="7" spans="1:9">
      <c r="A7" s="2" t="s">
        <v>17</v>
      </c>
      <c r="B7" s="2" t="s">
        <v>18</v>
      </c>
      <c r="C7" s="3" t="n">
        <v>46275</v>
      </c>
      <c r="D7" s="3" t="n">
        <v>46295</v>
      </c>
      <c r="E7" s="5" t="n">
        <v>3200</v>
      </c>
      <c r="F7" s="4"/>
      <c r="G7" s="2">
        <f aca="1">IF(F7&lt;&gt;"",IF(F7&gt;D7,DATEDIF(D7,F7,"d"),0),IF(D7&lt;TODAY(),DATEDIF(D7,TODAY(),"d"),0))</f>
        <v>0</v>
      </c>
      <c r="H7" s="2" t="str">
        <f>IF(F7&lt;&gt;"","Recebido","Pendente")</f>
        <v>Pendente</v>
      </c>
      <c r="I7" s="2">
        <f>IF(F7="",E7,0)</f>
        <v>3200</v>
      </c>
    </row>
    <row r="8" spans="1:9">
      <c r="A8" s="2" t="s">
        <v>19</v>
      </c>
      <c r="B8" s="2" t="s">
        <v>20</v>
      </c>
      <c r="C8" s="3" t="n">
        <v>46277</v>
      </c>
      <c r="D8" s="3" t="n">
        <v>46285</v>
      </c>
      <c r="E8" s="5" t="n">
        <v>270</v>
      </c>
      <c r="F8" s="4"/>
      <c r="G8" s="2">
        <f aca="1">IF(F8&lt;&gt;"",SE*(F8&gt;D8,DATEDIF(D8,F8,"d"),0),IF(D8&lt;TODAY(),DATEDIF(D8,TODAY(),"d"),0))</f>
        <v>7</v>
      </c>
      <c r="H8" s="2" t="str">
        <f>IF(F8&lt;&gt;"","Recebido","Pendente")</f>
        <v>Pendente</v>
      </c>
      <c r="I8" s="2">
        <f>IF(F8="",E8,0)</f>
        <v>270</v>
      </c>
    </row>
  </sheetData>
  <printOptions>
    <extLst>
      <ext uri="smNativeData">
        <pm:pageFlags xmlns:pm="smNativeData" id="179051324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0513247" l="56" r="56" t="56" b="56" borderId="0" fillId="0" vertical="0"/>
        <pm:footer xmlns:pm="smNativeData" id="1790513247" l="56" r="56" t="56" b="56" borderId="0" fillId="0" vertical="2"/>
        <pm:paperBin xmlns:pm="smNativeData" id="1790513247" Id="0" type="0" value="0"/>
        <pm:paperBin xmlns:pm="smNativeData" id="1790513247" Id="1" type="0" value="0"/>
      </ext>
    </extLst>
  </headerFooter>
  <extLst>
    <ext uri="smNativeData">
      <pm:sheetPrefs xmlns:pm="smNativeData" day="17905132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E3"/>
  <sheetViews>
    <sheetView view="normal" zoomScale="110" workbookViewId="0">
      <selection activeCell="F12" sqref="F12"/>
    </sheetView>
  </sheetViews>
  <sheetFormatPr baseColWidth="9" defaultColWidth="10.000000" defaultRowHeight="13.45"/>
  <cols>
    <col min="2" max="2" width="15.675676" customWidth="1"/>
    <col min="3" max="3" width="16.153153" customWidth="1"/>
    <col min="4" max="4" width="16.747748" customWidth="1"/>
    <col min="5" max="5" width="31.558559" customWidth="1"/>
  </cols>
  <sheetData>
    <row r="2" spans="2:5">
      <c r="B2" s="7" t="s">
        <v>21</v>
      </c>
      <c r="C2" s="7" t="s">
        <v>22</v>
      </c>
      <c r="D2" s="7" t="s">
        <v>23</v>
      </c>
      <c r="E2" s="7" t="s">
        <v>24</v>
      </c>
    </row>
    <row r="3" spans="2:5">
      <c r="B3" s="8">
        <f>SUM('Controle financeiro de contas a'!E3:E8)</f>
        <v>37570</v>
      </c>
      <c r="C3" s="9">
        <f>SUMIF('Controle financeiro de contas a'!H3:H8,"Recebido",'Controle financeiro de contas a'!E3:E8)</f>
        <v>31800</v>
      </c>
      <c r="D3" s="9">
        <f>SUM('Controle financeiro de contas a'!I3:I8)</f>
        <v>5770</v>
      </c>
      <c r="E3" s="6">
        <f aca="1">_xlfn.COUNTIFS('Controle financeiro de contas a'!H3:H8,"Pendente",'Controle financeiro de contas a'!D3:D8,"&lt;"&amp;TODAY())</f>
        <v>2</v>
      </c>
    </row>
  </sheetData>
  <printOptions>
    <extLst>
      <ext uri="smNativeData">
        <pm:pageFlags xmlns:pm="smNativeData" id="179051324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0513247" l="56" r="56" t="56" b="56" borderId="0" fillId="0" vertical="0"/>
        <pm:footer xmlns:pm="smNativeData" id="1790513247" l="56" r="56" t="56" b="56" borderId="0" fillId="0" vertical="2"/>
        <pm:paperBin xmlns:pm="smNativeData" id="1790513247" Id="0" type="0" value="0"/>
        <pm:paperBin xmlns:pm="smNativeData" id="1790513247" Id="1" type="0" value="0"/>
      </ext>
    </extLst>
  </headerFooter>
  <extLst>
    <ext uri="smNativeData">
      <pm:sheetPrefs xmlns:pm="smNativeData" day="17905132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</cp:lastModifiedBy>
  <cp:revision>0</cp:revision>
  <dcterms:created xsi:type="dcterms:W3CDTF">2026-09-27T10:50:40Z</dcterms:created>
  <dcterms:modified xsi:type="dcterms:W3CDTF">2026-09-27T12:47:27Z</dcterms:modified>
</cp:coreProperties>
</file>